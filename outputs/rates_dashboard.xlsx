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yminpatil/Desktop/rates_risk/outputs/"/>
    </mc:Choice>
  </mc:AlternateContent>
  <xr:revisionPtr revIDLastSave="0" documentId="13_ncr:1_{2DB049EA-1014-3148-A956-C06356F366A1}" xr6:coauthVersionLast="47" xr6:coauthVersionMax="47" xr10:uidLastSave="{00000000-0000-0000-0000-000000000000}"/>
  <bookViews>
    <workbookView xWindow="0" yWindow="660" windowWidth="29400" windowHeight="18460" activeTab="4" xr2:uid="{555C68AB-0B93-FD44-AB6E-B99A38E8D5AB}"/>
  </bookViews>
  <sheets>
    <sheet name="risk_raw" sheetId="12" r:id="rId1"/>
    <sheet name="portfolio_raw" sheetId="13" r:id="rId2"/>
    <sheet name="portfolio_summary" sheetId="14" r:id="rId3"/>
    <sheet name="scenario_raw" sheetId="16" r:id="rId4"/>
    <sheet name="Summary" sheetId="11" r:id="rId5"/>
  </sheets>
  <definedNames>
    <definedName name="ExternalData_1" localSheetId="1" hidden="1">portfolio_raw!$A$1:$E$11</definedName>
    <definedName name="ExternalData_1" localSheetId="2" hidden="1">portfolio_summary!$A$1:$G$2</definedName>
    <definedName name="ExternalData_1" localSheetId="3" hidden="1">scenario_raw!$A$1:$E$5</definedName>
    <definedName name="ExternalData_3" localSheetId="0" hidden="1">'risk_raw'!$A$1:$O$11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" i="11" l="1"/>
  <c r="A34" i="11" a="1"/>
  <c r="A34" i="11" s="1"/>
  <c r="B34" i="11" a="1"/>
  <c r="B34" i="11" s="1"/>
  <c r="C34" i="11" a="1"/>
  <c r="C34" i="11" s="1"/>
  <c r="A35" i="11" a="1"/>
  <c r="A35" i="11" s="1"/>
  <c r="B35" i="11" a="1"/>
  <c r="B35" i="11" s="1"/>
  <c r="C35" i="11" a="1"/>
  <c r="C35" i="11" s="1"/>
  <c r="A36" i="11" a="1"/>
  <c r="A36" i="11" s="1"/>
  <c r="B36" i="11" a="1"/>
  <c r="B36" i="11" s="1"/>
  <c r="C36" i="11" a="1"/>
  <c r="C36" i="11" s="1"/>
  <c r="C33" i="11" a="1"/>
  <c r="C33" i="11" s="1"/>
  <c r="B33" i="11" a="1"/>
  <c r="B33" i="11" s="1"/>
  <c r="A33" i="11" a="1"/>
  <c r="A33" i="11" s="1"/>
  <c r="A15" i="11" a="1"/>
  <c r="A15" i="11" s="1"/>
  <c r="B15" i="11" a="1"/>
  <c r="B15" i="11" s="1"/>
  <c r="C15" i="11" a="1"/>
  <c r="C15" i="11" s="1"/>
  <c r="D15" i="11" a="1"/>
  <c r="D15" i="11" s="1"/>
  <c r="A16" i="11" a="1"/>
  <c r="A16" i="11" s="1"/>
  <c r="B16" i="11" a="1"/>
  <c r="B16" i="11" s="1"/>
  <c r="C16" i="11" a="1"/>
  <c r="C16" i="11" s="1"/>
  <c r="D16" i="11" a="1"/>
  <c r="D16" i="11" s="1"/>
  <c r="A17" i="11" a="1"/>
  <c r="A17" i="11" s="1"/>
  <c r="B17" i="11" a="1"/>
  <c r="B17" i="11" s="1"/>
  <c r="C17" i="11" a="1"/>
  <c r="C17" i="11" s="1"/>
  <c r="D17" i="11" a="1"/>
  <c r="D17" i="11" s="1"/>
  <c r="A18" i="11" a="1"/>
  <c r="A18" i="11" s="1"/>
  <c r="B18" i="11" a="1"/>
  <c r="B18" i="11" s="1"/>
  <c r="C18" i="11" a="1"/>
  <c r="C18" i="11" s="1"/>
  <c r="D18" i="11" a="1"/>
  <c r="D18" i="11" s="1"/>
  <c r="A19" i="11" a="1"/>
  <c r="A19" i="11" s="1"/>
  <c r="B19" i="11" a="1"/>
  <c r="B19" i="11" s="1"/>
  <c r="C19" i="11" a="1"/>
  <c r="C19" i="11" s="1"/>
  <c r="D19" i="11" a="1"/>
  <c r="D19" i="11" s="1"/>
  <c r="A20" i="11" a="1"/>
  <c r="A20" i="11" s="1"/>
  <c r="B20" i="11" a="1"/>
  <c r="B20" i="11" s="1"/>
  <c r="C20" i="11" a="1"/>
  <c r="C20" i="11" s="1"/>
  <c r="D20" i="11" a="1"/>
  <c r="D20" i="11" s="1"/>
  <c r="A21" i="11" a="1"/>
  <c r="A21" i="11" s="1"/>
  <c r="B21" i="11" a="1"/>
  <c r="B21" i="11" s="1"/>
  <c r="C21" i="11" a="1"/>
  <c r="C21" i="11" s="1"/>
  <c r="D21" i="11" a="1"/>
  <c r="D21" i="11" s="1"/>
  <c r="A22" i="11" a="1"/>
  <c r="A22" i="11" s="1"/>
  <c r="B22" i="11" a="1"/>
  <c r="B22" i="11" s="1"/>
  <c r="C22" i="11" a="1"/>
  <c r="C22" i="11" s="1"/>
  <c r="D22" i="11" a="1"/>
  <c r="D22" i="11" s="1"/>
  <c r="A23" i="11" a="1"/>
  <c r="A23" i="11" s="1"/>
  <c r="B23" i="11" a="1"/>
  <c r="B23" i="11" s="1"/>
  <c r="C23" i="11" a="1"/>
  <c r="C23" i="11" s="1"/>
  <c r="D23" i="11" a="1"/>
  <c r="D23" i="11" s="1"/>
  <c r="B14" i="11" a="1"/>
  <c r="B14" i="11" s="1"/>
  <c r="D14" i="11" a="1"/>
  <c r="D14" i="11" s="1"/>
  <c r="C14" i="11" a="1"/>
  <c r="C14" i="11" s="1"/>
  <c r="A14" i="11" a="1"/>
  <c r="A14" i="11" s="1"/>
  <c r="B10" i="11"/>
  <c r="B9" i="11"/>
  <c r="B8" i="11"/>
  <c r="B7" i="11"/>
  <c r="B6" i="11"/>
  <c r="B5" i="11"/>
  <c r="B4" i="11" a="1"/>
  <c r="B4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37A317E-133A-A04D-A319-856F398E56B0}" keepAlive="1" name="Query - portfolio_raw" description="Connection to the 'portfolio_raw' query in the workbook." type="5" refreshedVersion="8" background="1" saveData="1">
    <dbPr connection="Provider=Microsoft.Mashup.OleDb.1;Data Source=$Workbook$;Location=portfolio_raw;Extended Properties=&quot;&quot;" command="SELECT * FROM [portfolio_raw]"/>
  </connection>
  <connection id="2" xr16:uid="{A5972DD1-D736-394B-9D61-8F6F0E4F7C65}" keepAlive="1" name="Query - portfolio_raw (2)" description="Connection to the 'portfolio_raw (2)' query in the workbook." type="5" refreshedVersion="8" background="1" saveData="1">
    <dbPr connection="Provider=Microsoft.Mashup.OleDb.1;Data Source=$Workbook$;Location=&quot;portfolio_raw (2)&quot;;Extended Properties=&quot;&quot;" command="SELECT * FROM [portfolio_raw (2)]"/>
  </connection>
  <connection id="3" xr16:uid="{90A87555-8CF3-3C4F-9EDB-104D72E14B09}" keepAlive="1" name="Query - portfolio_raw (3)" description="Connection to the 'portfolio_raw (3)' query in the workbook." type="5" refreshedVersion="8" background="1" saveData="1">
    <dbPr connection="Provider=Microsoft.Mashup.OleDb.1;Data Source=$Workbook$;Location=&quot;portfolio_raw (3)&quot;;Extended Properties=&quot;&quot;" command="SELECT * FROM [portfolio_raw (3)]"/>
  </connection>
  <connection id="4" xr16:uid="{3023562D-78A9-264F-8946-06AFB6AD787C}" keepAlive="1" name="Query - portfolio_raw (4)" description="Connection to the 'portfolio_raw (4)' query in the workbook." type="5" refreshedVersion="8" background="1" saveData="1">
    <dbPr connection="Provider=Microsoft.Mashup.OleDb.1;Data Source=$Workbook$;Location=&quot;portfolio_raw (4)&quot;;Extended Properties=&quot;&quot;" command="SELECT * FROM [portfolio_raw (4)]"/>
  </connection>
  <connection id="5" xr16:uid="{A791168E-5D26-4848-BBBD-88A8C1667301}" keepAlive="1" name="Query - portfolio_raw (5)" description="Connection to the 'portfolio_raw (5)' query in the workbook." type="5" refreshedVersion="8" background="1" saveData="1">
    <dbPr connection="Provider=Microsoft.Mashup.OleDb.1;Data Source=$Workbook$;Location=&quot;portfolio_raw (5)&quot;;Extended Properties=&quot;&quot;" command="SELECT * FROM [portfolio_raw (5)]"/>
  </connection>
  <connection id="6" xr16:uid="{B46351EB-41AA-3940-919F-F70EA0F8F130}" keepAlive="1" name="Query - portfolio_summary" description="Connection to the 'portfolio_summary' query in the workbook." type="5" refreshedVersion="8" background="1" saveData="1">
    <dbPr connection="Provider=Microsoft.Mashup.OleDb.1;Data Source=$Workbook$;Location=portfolio_summary;Extended Properties=&quot;&quot;" command="SELECT * FROM [portfolio_summary]"/>
  </connection>
  <connection id="7" xr16:uid="{C395BB99-A891-B643-B133-73D70B698216}" keepAlive="1" name="Query - risk_raw" description="Connection to the 'risk_raw' query in the workbook." type="5" refreshedVersion="8" background="1" saveData="1">
    <dbPr connection="Provider=Microsoft.Mashup.OleDb.1;Data Source=$Workbook$;Location=risk_raw;Extended Properties=&quot;&quot;" command="SELECT * FROM [risk_raw]"/>
  </connection>
  <connection id="8" xr16:uid="{E3FE432F-A336-2446-82F9-869B3C458EB8}" keepAlive="1" name="Query - risk_raw (2)" description="Connection to the 'risk_raw (2)' query in the workbook." type="5" refreshedVersion="8" background="1" saveData="1">
    <dbPr connection="Provider=Microsoft.Mashup.OleDb.1;Data Source=$Workbook$;Location=&quot;risk_raw (2)&quot;;Extended Properties=&quot;&quot;" command="SELECT * FROM [risk_raw (2)]"/>
  </connection>
  <connection id="9" xr16:uid="{17F7EB8F-18A8-B44F-9655-52E7B033B644}" keepAlive="1" name="Query - risk_raw (3)" description="Connection to the 'risk_raw (3)' query in the workbook." type="5" refreshedVersion="8" background="1" saveData="1">
    <dbPr connection="Provider=Microsoft.Mashup.OleDb.1;Data Source=$Workbook$;Location=&quot;risk_raw (3)&quot;;Extended Properties=&quot;&quot;" command="SELECT * FROM [risk_raw (3)]"/>
  </connection>
  <connection id="10" xr16:uid="{3462693B-CA61-D040-B849-25E4821B89A8}" keepAlive="1" name="Query - risk_raw (4)" description="Connection to the 'risk_raw (4)' query in the workbook." type="5" refreshedVersion="8" background="1" saveData="1">
    <dbPr connection="Provider=Microsoft.Mashup.OleDb.1;Data Source=$Workbook$;Location=&quot;risk_raw (4)&quot;;Extended Properties=&quot;&quot;" command="SELECT * FROM [risk_raw (4)]"/>
  </connection>
  <connection id="11" xr16:uid="{E2A0E318-116C-E445-A16A-CFB9C5303B5F}" keepAlive="1" name="Query - risk_raw (5)" description="Connection to the 'risk_raw (5)' query in the workbook." type="5" refreshedVersion="8" background="1" saveData="1">
    <dbPr connection="Provider=Microsoft.Mashup.OleDb.1;Data Source=$Workbook$;Location=&quot;risk_raw (5)&quot;;Extended Properties=&quot;&quot;" command="SELECT * FROM [risk_raw (5)]"/>
  </connection>
  <connection id="12" xr16:uid="{CC12A424-38BA-5446-9F94-997792772310}" keepAlive="1" name="Query - scenario_raw" description="Connection to the 'scenario_raw' query in the workbook." type="5" refreshedVersion="0" background="1">
    <dbPr connection="Provider=Microsoft.Mashup.OleDb.1;Data Source=$Workbook$;Location=scenario_raw;Extended Properties=&quot;&quot;" command="SELECT * FROM [scenario_raw]"/>
  </connection>
  <connection id="13" xr16:uid="{BE6AD37C-DEA5-3642-8849-4B01432652FC}" keepAlive="1" name="Query - scenario_raw (2)" description="Connection to the 'scenario_raw (2)' query in the workbook." type="5" refreshedVersion="8" background="1" saveData="1">
    <dbPr connection="Provider=Microsoft.Mashup.OleDb.1;Data Source=$Workbook$;Location=&quot;scenario_raw (2)&quot;;Extended Properties=&quot;&quot;" command="SELECT * FROM [scenario_raw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<sst xmlns="http://schemas.openxmlformats.org/spreadsheetml/2006/main" count="74" uniqueCount="60">
  <si>
    <t>bond_id</t>
  </si>
  <si>
    <t>face_amt_cr</t>
  </si>
  <si>
    <t>coupon_rate</t>
  </si>
  <si>
    <t>maturity_years</t>
  </si>
  <si>
    <t>freq</t>
  </si>
  <si>
    <t>clean_price</t>
  </si>
  <si>
    <t>dirty_price</t>
  </si>
  <si>
    <t>ytm</t>
  </si>
  <si>
    <t>mod_duration</t>
  </si>
  <si>
    <t>convexity</t>
  </si>
  <si>
    <t>dv01_cr</t>
  </si>
  <si>
    <t>market_value_cr</t>
  </si>
  <si>
    <t>dv01_pct</t>
  </si>
  <si>
    <t>krd_2y</t>
  </si>
  <si>
    <t>krd_5y</t>
  </si>
  <si>
    <t>krd_10y</t>
  </si>
  <si>
    <t>UST2Y</t>
  </si>
  <si>
    <t>UST3Y</t>
  </si>
  <si>
    <t>UST5Y</t>
  </si>
  <si>
    <t>UST7Y</t>
  </si>
  <si>
    <t>UST10Y</t>
  </si>
  <si>
    <t>IND2Y</t>
  </si>
  <si>
    <t>IND3Y</t>
  </si>
  <si>
    <t>IND5Y</t>
  </si>
  <si>
    <t>IND7Y</t>
  </si>
  <si>
    <t>IND10Y</t>
  </si>
  <si>
    <t>scenario</t>
  </si>
  <si>
    <t>port_base_mv_cr</t>
  </si>
  <si>
    <t>port_scen_mv_cr</t>
  </si>
  <si>
    <t>abs_pnl_cr</t>
  </si>
  <si>
    <t>pct_pnl</t>
  </si>
  <si>
    <t>parallel_+50bp</t>
  </si>
  <si>
    <t>parallel_-50bp</t>
  </si>
  <si>
    <t>bear_steepener</t>
  </si>
  <si>
    <t>bull_flattener</t>
  </si>
  <si>
    <t xml:space="preserve">PROTFOLIO SUMMARY </t>
  </si>
  <si>
    <t>PORTFOLIO METRICS</t>
  </si>
  <si>
    <t>Total Market Value (Cr)</t>
  </si>
  <si>
    <t>Portfolio Duration (years)</t>
  </si>
  <si>
    <t>Portfolio DV01 (Cr per 1bp)</t>
  </si>
  <si>
    <t>Portfolio Convexity</t>
  </si>
  <si>
    <t>Portfolio KRD 2Y</t>
  </si>
  <si>
    <t>Portfolio KRD 5Y</t>
  </si>
  <si>
    <t>Portfolio KRD 10Y</t>
  </si>
  <si>
    <t>total_mv</t>
  </si>
  <si>
    <t>port_duration</t>
  </si>
  <si>
    <t>port_dv01</t>
  </si>
  <si>
    <t>port_convexity</t>
  </si>
  <si>
    <t>port_krd_2y</t>
  </si>
  <si>
    <t>port_krd_5y</t>
  </si>
  <si>
    <t>port_krd_10y</t>
  </si>
  <si>
    <t>PER-BOND RISK</t>
  </si>
  <si>
    <t>BOND ID</t>
  </si>
  <si>
    <t>DV01 (Cr)</t>
  </si>
  <si>
    <t>KRD 10Y</t>
  </si>
  <si>
    <t>DV01%</t>
  </si>
  <si>
    <t>SCENARIO ANALYSIS</t>
  </si>
  <si>
    <t xml:space="preserve">Scenario </t>
  </si>
  <si>
    <t>P&amp;L (Cr)</t>
  </si>
  <si>
    <t>P&amp;L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</si>
</sst>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u/>
      <sz val="12"/>
      <color theme="1"/>
      <name val="Aptos Narrow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5FFA6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0">
    <xf numFmtId="0" fontId="0" fillId="0" borderId="0" xfId="0"/>
    <xf numFmtId="0" fontId="0" fillId="0" borderId="0" xfId="0" applyNumberFormat="1"/>
    <xf numFmtId="0" fontId="2" fillId="0" borderId="0" xfId="0" applyFont="1"/>
    <xf numFmtId="0" fontId="0" fillId="2" borderId="2" xfId="0" applyFill="1" applyBorder="1"/>
    <xf numFmtId="0" fontId="0" fillId="3" borderId="7" xfId="0" applyFill="1" applyBorder="1"/>
    <xf numFmtId="0" fontId="0" fillId="3" borderId="2" xfId="0" applyFill="1" applyBorder="1"/>
    <xf numFmtId="0" fontId="0" fillId="4" borderId="7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0" xfId="0" applyFill="1" applyBorder="1"/>
    <xf numFmtId="0" fontId="0" fillId="4" borderId="4" xfId="0" applyFill="1" applyBorder="1"/>
    <xf numFmtId="0" fontId="0" fillId="4" borderId="6" xfId="0" applyFill="1" applyBorder="1"/>
    <xf numFmtId="0" fontId="0" fillId="0" borderId="0" xfId="0" applyFill="1"/>
    <xf numFmtId="0" fontId="2" fillId="0" borderId="0" xfId="0" applyFont="1" applyFill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4" borderId="0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left"/>
    </xf>
    <xf numFmtId="0" fontId="4" fillId="2" borderId="5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left"/>
    </xf>
    <xf numFmtId="0" fontId="4" fillId="3" borderId="5" xfId="0" applyFont="1" applyFill="1" applyBorder="1" applyAlignment="1">
      <alignment horizontal="left"/>
    </xf>
    <xf numFmtId="0" fontId="4" fillId="4" borderId="3" xfId="0" applyFont="1" applyFill="1" applyBorder="1" applyAlignment="1">
      <alignment horizontal="left"/>
    </xf>
    <xf numFmtId="0" fontId="4" fillId="4" borderId="5" xfId="0" applyFont="1" applyFill="1" applyBorder="1" applyAlignment="1">
      <alignment horizontal="left"/>
    </xf>
    <xf numFmtId="2" fontId="4" fillId="2" borderId="4" xfId="0" applyNumberFormat="1" applyFont="1" applyFill="1" applyBorder="1" applyAlignment="1">
      <alignment horizontal="right"/>
    </xf>
    <xf numFmtId="2" fontId="4" fillId="2" borderId="6" xfId="0" applyNumberFormat="1" applyFont="1" applyFill="1" applyBorder="1" applyAlignment="1">
      <alignment horizontal="right"/>
    </xf>
    <xf numFmtId="0" fontId="4" fillId="3" borderId="0" xfId="0" applyFont="1" applyFill="1" applyBorder="1" applyAlignment="1">
      <alignment horizontal="right"/>
    </xf>
    <xf numFmtId="10" fontId="4" fillId="3" borderId="0" xfId="1" applyNumberFormat="1" applyFont="1" applyFill="1" applyBorder="1" applyAlignment="1">
      <alignment horizontal="right"/>
    </xf>
    <xf numFmtId="0" fontId="4" fillId="3" borderId="4" xfId="0" applyFont="1" applyFill="1" applyBorder="1" applyAlignment="1">
      <alignment horizontal="right"/>
    </xf>
    <xf numFmtId="0" fontId="4" fillId="3" borderId="8" xfId="0" applyFont="1" applyFill="1" applyBorder="1" applyAlignment="1">
      <alignment horizontal="right"/>
    </xf>
    <xf numFmtId="10" fontId="4" fillId="3" borderId="8" xfId="1" applyNumberFormat="1" applyFont="1" applyFill="1" applyBorder="1" applyAlignment="1">
      <alignment horizontal="right"/>
    </xf>
    <xf numFmtId="0" fontId="4" fillId="3" borderId="6" xfId="0" applyFont="1" applyFill="1" applyBorder="1" applyAlignment="1">
      <alignment horizontal="right"/>
    </xf>
    <xf numFmtId="0" fontId="4" fillId="4" borderId="0" xfId="0" applyFont="1" applyFill="1" applyBorder="1" applyAlignment="1">
      <alignment horizontal="right"/>
    </xf>
    <xf numFmtId="10" fontId="4" fillId="4" borderId="0" xfId="0" applyNumberFormat="1" applyFont="1" applyFill="1" applyBorder="1" applyAlignment="1">
      <alignment horizontal="right"/>
    </xf>
    <xf numFmtId="0" fontId="4" fillId="4" borderId="8" xfId="0" applyFont="1" applyFill="1" applyBorder="1" applyAlignment="1">
      <alignment horizontal="right"/>
    </xf>
    <xf numFmtId="10" fontId="4" fillId="4" borderId="8" xfId="0" applyNumberFormat="1" applyFont="1" applyFill="1" applyBorder="1" applyAlignment="1">
      <alignment horizontal="right"/>
    </xf>
    <xf numFmtId="0" fontId="2" fillId="3" borderId="3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</cellXfs>
  <cellStyles count="2">
    <cellStyle name="Normal" xfId="0" builtinId="0"/>
    <cellStyle name="Per cent" xfId="1" builtinId="5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5FFA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Scenario P&amp;L Impact</a:t>
            </a:r>
          </a:p>
          <a:p>
            <a:pPr>
              <a:defRPr/>
            </a:pP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1456036745406825E-2"/>
          <c:y val="0.14430555555555555"/>
          <c:w val="0.90798840769903766"/>
          <c:h val="0.8047685185185187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tx2">
                <a:lumMod val="90000"/>
                <a:lumOff val="10000"/>
              </a:schemeClr>
            </a:solidFill>
            <a:ln w="9525" cap="flat" cmpd="sng" algn="ctr">
              <a:solidFill>
                <a:schemeClr val="tx2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Summary!$A$33:$A$36</c:f>
              <c:strCache>
                <c:ptCount val="4"/>
                <c:pt idx="0">
                  <c:v>parallel_+50bp</c:v>
                </c:pt>
                <c:pt idx="1">
                  <c:v>parallel_-50bp</c:v>
                </c:pt>
                <c:pt idx="2">
                  <c:v>bear_steepener</c:v>
                </c:pt>
                <c:pt idx="3">
                  <c:v>bull_flattener</c:v>
                </c:pt>
              </c:strCache>
            </c:strRef>
          </c:cat>
          <c:val>
            <c:numRef>
              <c:f>Summary!$B$33:$B$36</c:f>
              <c:numCache>
                <c:formatCode>General</c:formatCode>
                <c:ptCount val="4"/>
                <c:pt idx="0">
                  <c:v>-3.931632</c:v>
                </c:pt>
                <c:pt idx="1">
                  <c:v>4.0695649999999999</c:v>
                </c:pt>
                <c:pt idx="2">
                  <c:v>-6.001455</c:v>
                </c:pt>
                <c:pt idx="3">
                  <c:v>-1.7807729999999999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26-B14F-B248-D642B35E8B0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077377408"/>
        <c:axId val="2077389056"/>
      </c:barChart>
      <c:catAx>
        <c:axId val="20773774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P&amp;L Impact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7389056"/>
        <c:crosses val="autoZero"/>
        <c:auto val="1"/>
        <c:lblAlgn val="ctr"/>
        <c:lblOffset val="100"/>
        <c:noMultiLvlLbl val="0"/>
      </c:catAx>
      <c:valAx>
        <c:axId val="207738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P&amp;L (Cr)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7377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336550</xdr:colOff>
      <xdr:row>24</xdr:row>
      <xdr:rowOff>63500</xdr:rowOff>
    </xdr:from>
    <xdr:to>
      <xdr:col>11</xdr:col>
      <xdr:colOff>381000</xdr:colOff>
      <xdr:row>42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E573C9-7F34-5F9B-AE0D-E15EE87EE8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0" xr16:uid="{714479D1-EDBD-D347-97B9-E6083C9A8B29}" autoFormatId="16" applyNumberFormats="0" applyBorderFormats="0" applyFontFormats="0" applyPatternFormats="0" applyAlignmentFormats="0" applyWidthHeightFormats="0">
  <queryTableRefresh nextId="16">
    <queryTableFields count="15">
      <queryTableField id="1" name="clean_price" tableColumnId="1"/>
      <queryTableField id="2" name="dirty_price" tableColumnId="2"/>
      <queryTableField id="3" name="ytm" tableColumnId="3"/>
      <queryTableField id="4" name="mod_duration" tableColumnId="4"/>
      <queryTableField id="5" name="convexity" tableColumnId="5"/>
      <queryTableField id="6" name="dv01_cr" tableColumnId="6"/>
      <queryTableField id="7" name="krd_2y" tableColumnId="7"/>
      <queryTableField id="8" name="krd_5y" tableColumnId="8"/>
      <queryTableField id="9" name="krd_10y" tableColumnId="9"/>
      <queryTableField id="10" name="bond_id" tableColumnId="10"/>
      <queryTableField id="11" name="face_amt_cr" tableColumnId="11"/>
      <queryTableField id="12" name="coupon_rate" tableColumnId="12"/>
      <queryTableField id="13" name="maturity_years" tableColumnId="13"/>
      <queryTableField id="14" name="market_value_cr" tableColumnId="14"/>
      <queryTableField id="15" name="dv01_pct" tableColumnId="1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47BAD2EC-52EF-E446-BBA6-AB5822729D0A}" autoFormatId="16" applyNumberFormats="0" applyBorderFormats="0" applyFontFormats="0" applyPatternFormats="0" applyAlignmentFormats="0" applyWidthHeightFormats="0">
  <queryTableRefresh nextId="6">
    <queryTableFields count="5">
      <queryTableField id="1" name="bond_id" tableColumnId="1"/>
      <queryTableField id="2" name="face_amt_cr" tableColumnId="2"/>
      <queryTableField id="3" name="coupon_rate" tableColumnId="3"/>
      <queryTableField id="4" name="maturity_years" tableColumnId="4"/>
      <queryTableField id="5" name="freq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B887FDC0-A312-FE40-B944-11043D5E9CDB}" autoFormatId="16" applyNumberFormats="0" applyBorderFormats="0" applyFontFormats="0" applyPatternFormats="0" applyAlignmentFormats="0" applyWidthHeightFormats="0">
  <queryTableRefresh nextId="8">
    <queryTableFields count="7">
      <queryTableField id="1" name="total_mv" tableColumnId="1"/>
      <queryTableField id="2" name="port_duration" tableColumnId="2"/>
      <queryTableField id="3" name="port_dv01" tableColumnId="3"/>
      <queryTableField id="4" name="port_convexity" tableColumnId="4"/>
      <queryTableField id="5" name="port_krd_2y" tableColumnId="5"/>
      <queryTableField id="6" name="port_krd_5y" tableColumnId="6"/>
      <queryTableField id="7" name="port_krd_10y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8C5E6E42-90EF-B743-9978-ACC2C007DE34}" autoFormatId="16" applyNumberFormats="0" applyBorderFormats="0" applyFontFormats="0" applyPatternFormats="0" applyAlignmentFormats="0" applyWidthHeightFormats="0">
  <queryTableRefresh nextId="6">
    <queryTableFields count="5">
      <queryTableField id="1" name="scenario" tableColumnId="1"/>
      <queryTableField id="2" name="port_base_mv_cr" tableColumnId="2"/>
      <queryTableField id="3" name="port_scen_mv_cr" tableColumnId="3"/>
      <queryTableField id="4" name="abs_pnl_cr" tableColumnId="4"/>
      <queryTableField id="5" name="pct_pnl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30D291F-90F4-3543-9975-CEE64819C075}" name="risk_raw" displayName="risk_raw" ref="A1:O12" tableType="queryTable" totalsRowCount="1">
  <autoFilter ref="A1:O11" xr:uid="{530D291F-90F4-3543-9975-CEE64819C075}"/>
  <tableColumns count="15">
    <tableColumn id="1" xr3:uid="{73C63822-DEAB-0849-860A-5B3CB7BAA441}" uniqueName="1" name="clean_price" queryTableFieldId="1"/>
    <tableColumn id="2" xr3:uid="{689F4CAD-AD8A-7C40-979D-88CFFC412B30}" uniqueName="2" name="dirty_price" queryTableFieldId="2"/>
    <tableColumn id="3" xr3:uid="{BC874C3D-9C2A-F746-9CDF-997DE3FEC35A}" uniqueName="3" name="ytm" queryTableFieldId="3"/>
    <tableColumn id="4" xr3:uid="{4FB302A9-C571-A541-9A35-B9AA42A936BB}" uniqueName="4" name="mod_duration" queryTableFieldId="4"/>
    <tableColumn id="5" xr3:uid="{255975A5-0079-D146-9A47-6869AA2727D5}" uniqueName="5" name="convexity" queryTableFieldId="5"/>
    <tableColumn id="6" xr3:uid="{8EDB3984-3077-E642-BB1E-02E61B64739E}" uniqueName="6" name="dv01_cr" queryTableFieldId="6"/>
    <tableColumn id="7" xr3:uid="{0A7FC4C5-3CDA-1243-8A78-C21B11E4FCE4}" uniqueName="7" name="krd_2y" queryTableFieldId="7"/>
    <tableColumn id="8" xr3:uid="{B7B9F3F4-A1D1-CB4C-85EA-3FFCEEE6070A}" uniqueName="8" name="krd_5y" queryTableFieldId="8"/>
    <tableColumn id="9" xr3:uid="{F2DA3798-05E2-5D42-928B-B0029E5765A2}" uniqueName="9" name="krd_10y" queryTableFieldId="9"/>
    <tableColumn id="10" xr3:uid="{1C324E2C-F59D-3642-B80B-755408C39D5C}" uniqueName="10" name="bond_id" queryTableFieldId="10" dataDxfId="2" totalsRowDxfId="3"/>
    <tableColumn id="11" xr3:uid="{9472D8BD-CCDC-4D47-8CF7-DF6310BC66D7}" uniqueName="11" name="face_amt_cr" queryTableFieldId="11"/>
    <tableColumn id="12" xr3:uid="{0136FF30-4D0D-0443-98BE-C879FDACBF17}" uniqueName="12" name="coupon_rate" queryTableFieldId="12"/>
    <tableColumn id="13" xr3:uid="{8BAEB170-C0A6-454C-BFFB-ED063E67733F}" uniqueName="13" name="maturity_years" queryTableFieldId="13"/>
    <tableColumn id="14" xr3:uid="{622B75FA-C665-D64B-AE06-4BF9CCE0DA19}" uniqueName="14" name="market_value_cr" queryTableFieldId="14"/>
    <tableColumn id="15" xr3:uid="{EB277AFD-0CD0-3546-8C9B-7F9C1BC75A8D}" uniqueName="15" name="dv01_pct" queryTableFieldId="1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E720DE-1AFB-114D-93AB-B96F48D389A2}" name="portfolio_raw" displayName="portfolio_raw" ref="A1:E11" tableType="queryTable" totalsRowShown="0">
  <autoFilter ref="A1:E11" xr:uid="{9DE720DE-1AFB-114D-93AB-B96F48D389A2}"/>
  <tableColumns count="5">
    <tableColumn id="1" xr3:uid="{CB4CFD12-E3AD-F645-8D2B-C1717F8C4C5D}" uniqueName="1" name="bond_id" queryTableFieldId="1" dataDxfId="1"/>
    <tableColumn id="2" xr3:uid="{5FBCE034-7DF4-2F44-BD19-76AE329D2973}" uniqueName="2" name="face_amt_cr" queryTableFieldId="2"/>
    <tableColumn id="3" xr3:uid="{77A5701A-E964-CC45-A174-8A6ECD1F64D9}" uniqueName="3" name="coupon_rate" queryTableFieldId="3"/>
    <tableColumn id="4" xr3:uid="{D0E414A3-7F3D-8A41-BB0B-C11803670C24}" uniqueName="4" name="maturity_years" queryTableFieldId="4"/>
    <tableColumn id="5" xr3:uid="{0257495F-32AF-FC4B-BE29-97FEDC30A060}" uniqueName="5" name="freq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8D7FB2-BCCC-3A4B-BC9E-20D1B0C04B33}" name="portfolio_summary" displayName="portfolio_summary" ref="A1:G2" tableType="queryTable" totalsRowShown="0">
  <autoFilter ref="A1:G2" xr:uid="{438D7FB2-BCCC-3A4B-BC9E-20D1B0C04B33}"/>
  <tableColumns count="7">
    <tableColumn id="1" xr3:uid="{6B6F0793-0878-3C4A-AA13-5D35029A93CB}" uniqueName="1" name="total_mv" queryTableFieldId="1"/>
    <tableColumn id="2" xr3:uid="{9635207E-FDEF-6F40-A872-88D97D5D154B}" uniqueName="2" name="port_duration" queryTableFieldId="2"/>
    <tableColumn id="3" xr3:uid="{3B9ECB5D-4C76-DF4F-BD09-D5012878C3F5}" uniqueName="3" name="port_dv01" queryTableFieldId="3"/>
    <tableColumn id="4" xr3:uid="{CEDAE541-0BEC-674F-8BFF-B3CEE2F6DCD6}" uniqueName="4" name="port_convexity" queryTableFieldId="4"/>
    <tableColumn id="5" xr3:uid="{C298C897-64B1-E544-B572-0DF6710972E2}" uniqueName="5" name="port_krd_2y" queryTableFieldId="5"/>
    <tableColumn id="6" xr3:uid="{3478C92E-F90E-134D-80E1-DA418231F04C}" uniqueName="6" name="port_krd_5y" queryTableFieldId="6"/>
    <tableColumn id="7" xr3:uid="{9B053823-6A23-0A4E-8AE9-9CADE9CAD67D}" uniqueName="7" name="port_krd_10y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3A015C3-978C-F64F-ABB5-186BC62882E2}" name="scenario_raw" displayName="scenario_raw" ref="A1:E5" tableType="queryTable" totalsRowShown="0">
  <autoFilter ref="A1:E5" xr:uid="{53A015C3-978C-F64F-ABB5-186BC62882E2}"/>
  <tableColumns count="5">
    <tableColumn id="1" xr3:uid="{3AB4EE93-CC25-DE45-A5A6-B6E23951F4B3}" uniqueName="1" name="scenario" queryTableFieldId="1" dataDxfId="0"/>
    <tableColumn id="2" xr3:uid="{77B180C5-85EA-3443-8F4E-9F37FDF3C30C}" uniqueName="2" name="port_base_mv_cr" queryTableFieldId="2"/>
    <tableColumn id="3" xr3:uid="{0F58A3F5-344F-4848-8700-6632E4AFA096}" uniqueName="3" name="port_scen_mv_cr" queryTableFieldId="3"/>
    <tableColumn id="4" xr3:uid="{F89FDE3E-ACD4-AE43-94B1-D2B19466BD0C}" uniqueName="4" name="abs_pnl_cr" queryTableFieldId="4"/>
    <tableColumn id="5" xr3:uid="{51BB8044-C216-7A4E-AA40-37AD0D0F962D}" uniqueName="5" name="pct_pnl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42CE7-7BC5-6441-A700-66BEF5F77049}">
  <dimension ref="A1:O12"/>
  <sheetViews>
    <sheetView workbookViewId="0">
      <selection activeCell="O2" sqref="O2"/>
    </sheetView>
  </sheetViews>
  <sheetFormatPr baseColWidth="10" defaultRowHeight="16" x14ac:dyDescent="0.2"/>
  <cols>
    <col min="1" max="1" width="13.1640625" bestFit="1" customWidth="1"/>
    <col min="2" max="2" width="12.33203125" bestFit="1" customWidth="1"/>
    <col min="3" max="3" width="9.1640625" bestFit="1" customWidth="1"/>
    <col min="4" max="4" width="15" bestFit="1" customWidth="1"/>
    <col min="5" max="5" width="11.33203125" bestFit="1" customWidth="1"/>
    <col min="6" max="6" width="10" bestFit="1" customWidth="1"/>
    <col min="8" max="8" width="9.83203125" bestFit="1" customWidth="1"/>
    <col min="9" max="10" width="10" bestFit="1" customWidth="1"/>
    <col min="11" max="11" width="14" bestFit="1" customWidth="1"/>
    <col min="12" max="12" width="13.83203125" bestFit="1" customWidth="1"/>
    <col min="13" max="13" width="16" bestFit="1" customWidth="1"/>
    <col min="14" max="14" width="17.33203125" bestFit="1" customWidth="1"/>
    <col min="15" max="15" width="12.1640625" bestFit="1" customWidth="1"/>
  </cols>
  <sheetData>
    <row r="1" spans="1:15" x14ac:dyDescent="0.2">
      <c r="A1" t="s">
        <v>5</v>
      </c>
      <c r="B1" t="s">
        <v>6</v>
      </c>
      <c r="C1" t="s">
        <v>7</v>
      </c>
      <c r="D1" t="s">
        <v>8</v>
      </c>
      <c r="E1" t="s">
        <v>9</v>
      </c>
      <c r="F1" t="s">
        <v>10</v>
      </c>
      <c r="G1" t="s">
        <v>13</v>
      </c>
      <c r="H1" t="s">
        <v>14</v>
      </c>
      <c r="I1" t="s">
        <v>15</v>
      </c>
      <c r="J1" t="s">
        <v>0</v>
      </c>
      <c r="K1" t="s">
        <v>1</v>
      </c>
      <c r="L1" t="s">
        <v>2</v>
      </c>
      <c r="M1" t="s">
        <v>3</v>
      </c>
      <c r="N1" t="s">
        <v>11</v>
      </c>
      <c r="O1" t="s">
        <v>12</v>
      </c>
    </row>
    <row r="2" spans="1:15" x14ac:dyDescent="0.2">
      <c r="A2">
        <v>10.139716999999999</v>
      </c>
      <c r="B2">
        <v>10.139716999999999</v>
      </c>
      <c r="C2">
        <v>3.4708000000000003E-2</v>
      </c>
      <c r="D2">
        <v>1.9384170000000001</v>
      </c>
      <c r="E2">
        <v>9.8622080000000008</v>
      </c>
      <c r="F2">
        <v>1.9650000000000002E-3</v>
      </c>
      <c r="G2">
        <v>1.8886130000000001</v>
      </c>
      <c r="H2">
        <v>-4.9299999999999995E-4</v>
      </c>
      <c r="I2">
        <v>0</v>
      </c>
      <c r="J2" s="1" t="s">
        <v>16</v>
      </c>
      <c r="K2">
        <v>10</v>
      </c>
      <c r="L2">
        <v>4.2000000000000003E-2</v>
      </c>
      <c r="M2">
        <v>2</v>
      </c>
      <c r="N2">
        <v>10.139716999999999</v>
      </c>
      <c r="O2">
        <v>2.45646494068231E-2</v>
      </c>
    </row>
    <row r="3" spans="1:15" x14ac:dyDescent="0.2">
      <c r="A3">
        <v>12.358769000000001</v>
      </c>
      <c r="B3">
        <v>12.358769000000001</v>
      </c>
      <c r="C3">
        <v>3.3443000000000001E-2</v>
      </c>
      <c r="D3">
        <v>2.8473709999999999</v>
      </c>
      <c r="E3">
        <v>0</v>
      </c>
      <c r="F3">
        <v>3.519E-3</v>
      </c>
      <c r="G3">
        <v>3.9850249999999998</v>
      </c>
      <c r="H3">
        <v>0.54657500000000003</v>
      </c>
      <c r="I3">
        <v>-2.3465E-2</v>
      </c>
      <c r="J3" s="1" t="s">
        <v>17</v>
      </c>
      <c r="K3">
        <v>12</v>
      </c>
      <c r="L3">
        <v>4.3999999999999997E-2</v>
      </c>
      <c r="M3">
        <v>3</v>
      </c>
      <c r="N3">
        <v>12.358769000000001</v>
      </c>
      <c r="O3">
        <v>4.3991349243058774E-2</v>
      </c>
    </row>
    <row r="4" spans="1:15" x14ac:dyDescent="0.2">
      <c r="A4">
        <v>15.599323999999999</v>
      </c>
      <c r="B4">
        <v>15.599323999999999</v>
      </c>
      <c r="C4">
        <v>3.7170000000000002E-2</v>
      </c>
      <c r="D4">
        <v>4.5335299999999998</v>
      </c>
      <c r="E4">
        <v>12.821068</v>
      </c>
      <c r="F4">
        <v>7.0720000000000002E-3</v>
      </c>
      <c r="G4">
        <v>0.423736</v>
      </c>
      <c r="H4">
        <v>4.2367220000000003</v>
      </c>
      <c r="I4">
        <v>-3.5260000000000001E-3</v>
      </c>
      <c r="J4" s="1" t="s">
        <v>18</v>
      </c>
      <c r="K4">
        <v>15</v>
      </c>
      <c r="L4">
        <v>4.5999999999999999E-2</v>
      </c>
      <c r="M4">
        <v>5</v>
      </c>
      <c r="N4">
        <v>15.599323999999999</v>
      </c>
      <c r="O4">
        <v>8.840773567687174E-2</v>
      </c>
    </row>
    <row r="5" spans="1:15" x14ac:dyDescent="0.2">
      <c r="A5">
        <v>18.411649000000001</v>
      </c>
      <c r="B5">
        <v>18.411649000000001</v>
      </c>
      <c r="C5">
        <v>4.3179000000000002E-2</v>
      </c>
      <c r="D5">
        <v>6.0459009999999997</v>
      </c>
      <c r="E5">
        <v>38.019407999999999</v>
      </c>
      <c r="F5">
        <v>1.1131E-2</v>
      </c>
      <c r="G5">
        <v>-10.627782</v>
      </c>
      <c r="H5">
        <v>8.7914449999999995</v>
      </c>
      <c r="I5">
        <v>0.84891899999999998</v>
      </c>
      <c r="J5" s="1" t="s">
        <v>19</v>
      </c>
      <c r="K5">
        <v>18</v>
      </c>
      <c r="L5">
        <v>4.7E-2</v>
      </c>
      <c r="M5">
        <v>7</v>
      </c>
      <c r="N5">
        <v>18.411649000000001</v>
      </c>
      <c r="O5">
        <v>0.13914967559661473</v>
      </c>
    </row>
    <row r="6" spans="1:15" x14ac:dyDescent="0.2">
      <c r="A6">
        <v>20.979400999999999</v>
      </c>
      <c r="B6">
        <v>20.979400999999999</v>
      </c>
      <c r="C6">
        <v>4.1953999999999998E-2</v>
      </c>
      <c r="D6">
        <v>8.0969899999999999</v>
      </c>
      <c r="E6">
        <v>76.265285000000006</v>
      </c>
      <c r="F6">
        <v>1.6986999999999999E-2</v>
      </c>
      <c r="G6">
        <v>-1.5226839999999999</v>
      </c>
      <c r="H6">
        <v>1.66306</v>
      </c>
      <c r="I6">
        <v>6.7971440000000003</v>
      </c>
      <c r="J6" s="1" t="s">
        <v>20</v>
      </c>
      <c r="K6">
        <v>20</v>
      </c>
      <c r="L6">
        <v>4.8000000000000001E-2</v>
      </c>
      <c r="M6">
        <v>10</v>
      </c>
      <c r="N6">
        <v>20.979400999999999</v>
      </c>
      <c r="O6">
        <v>0.21235608115710125</v>
      </c>
    </row>
    <row r="7" spans="1:15" x14ac:dyDescent="0.2">
      <c r="A7">
        <v>8.4640979999999999</v>
      </c>
      <c r="B7">
        <v>8.4640979999999999</v>
      </c>
      <c r="C7">
        <v>3.4723999999999998E-2</v>
      </c>
      <c r="D7">
        <v>1.909241</v>
      </c>
      <c r="E7">
        <v>0</v>
      </c>
      <c r="F7">
        <v>1.616E-3</v>
      </c>
      <c r="G7">
        <v>1.837172</v>
      </c>
      <c r="H7">
        <v>-1.181E-3</v>
      </c>
      <c r="I7">
        <v>0</v>
      </c>
      <c r="J7" s="1" t="s">
        <v>21</v>
      </c>
      <c r="K7">
        <v>8</v>
      </c>
      <c r="L7">
        <v>6.5000000000000002E-2</v>
      </c>
      <c r="M7">
        <v>2</v>
      </c>
      <c r="N7">
        <v>8.4640979999999999</v>
      </c>
      <c r="O7">
        <v>2.0201767654669786E-2</v>
      </c>
    </row>
    <row r="8" spans="1:15" x14ac:dyDescent="0.2">
      <c r="A8">
        <v>10.920947</v>
      </c>
      <c r="B8">
        <v>10.920947</v>
      </c>
      <c r="C8">
        <v>3.3478000000000001E-2</v>
      </c>
      <c r="D8">
        <v>2.7840989999999999</v>
      </c>
      <c r="E8">
        <v>9.1567150000000002</v>
      </c>
      <c r="F8">
        <v>3.0409999999999999E-3</v>
      </c>
      <c r="G8">
        <v>3.8536039999999998</v>
      </c>
      <c r="H8">
        <v>0.52193299999999998</v>
      </c>
      <c r="I8">
        <v>-2.2891999999999999E-2</v>
      </c>
      <c r="J8" s="1" t="s">
        <v>22</v>
      </c>
      <c r="K8">
        <v>10</v>
      </c>
      <c r="L8">
        <v>6.6000000000000003E-2</v>
      </c>
      <c r="M8">
        <v>3</v>
      </c>
      <c r="N8">
        <v>10.920947</v>
      </c>
      <c r="O8">
        <v>3.8015826384808674E-2</v>
      </c>
    </row>
    <row r="9" spans="1:15" x14ac:dyDescent="0.2">
      <c r="A9">
        <v>13.625705999999999</v>
      </c>
      <c r="B9">
        <v>13.625705999999999</v>
      </c>
      <c r="C9">
        <v>3.7067000000000003E-2</v>
      </c>
      <c r="D9">
        <v>4.3777549999999996</v>
      </c>
      <c r="E9">
        <v>29.356276999999999</v>
      </c>
      <c r="F9">
        <v>5.9649999999999998E-3</v>
      </c>
      <c r="G9">
        <v>0.56400700000000004</v>
      </c>
      <c r="H9">
        <v>3.9825460000000001</v>
      </c>
      <c r="I9">
        <v>-4.7699999999999999E-3</v>
      </c>
      <c r="J9" s="1" t="s">
        <v>23</v>
      </c>
      <c r="K9">
        <v>12</v>
      </c>
      <c r="L9">
        <v>6.7000000000000004E-2</v>
      </c>
      <c r="M9">
        <v>5</v>
      </c>
      <c r="N9">
        <v>13.625705999999999</v>
      </c>
      <c r="O9">
        <v>7.4569024789669106E-2</v>
      </c>
    </row>
    <row r="10" spans="1:15" x14ac:dyDescent="0.2">
      <c r="A10">
        <v>17.261762000000001</v>
      </c>
      <c r="B10">
        <v>17.261762000000001</v>
      </c>
      <c r="C10">
        <v>4.2840000000000003E-2</v>
      </c>
      <c r="D10">
        <v>5.7731649999999997</v>
      </c>
      <c r="E10">
        <v>40.552059</v>
      </c>
      <c r="F10">
        <v>9.9649999999999999E-3</v>
      </c>
      <c r="G10">
        <v>-9.5175680000000007</v>
      </c>
      <c r="H10">
        <v>8.1648680000000002</v>
      </c>
      <c r="I10">
        <v>0.76788199999999995</v>
      </c>
      <c r="J10" s="1" t="s">
        <v>24</v>
      </c>
      <c r="K10">
        <v>15</v>
      </c>
      <c r="L10">
        <v>6.8000000000000005E-2</v>
      </c>
      <c r="M10">
        <v>7</v>
      </c>
      <c r="N10">
        <v>17.261762000000001</v>
      </c>
      <c r="O10">
        <v>0.1245734001725151</v>
      </c>
    </row>
    <row r="11" spans="1:15" x14ac:dyDescent="0.2">
      <c r="A11">
        <v>24.554036</v>
      </c>
      <c r="B11">
        <v>24.554036</v>
      </c>
      <c r="C11">
        <v>4.1894000000000001E-2</v>
      </c>
      <c r="D11">
        <v>7.629092</v>
      </c>
      <c r="E11">
        <v>69.235054000000005</v>
      </c>
      <c r="F11">
        <v>1.8731999999999999E-2</v>
      </c>
      <c r="G11">
        <v>-1.8884879999999999</v>
      </c>
      <c r="H11">
        <v>2.068092</v>
      </c>
      <c r="I11">
        <v>6.0112319999999997</v>
      </c>
      <c r="J11" s="1" t="s">
        <v>25</v>
      </c>
      <c r="K11">
        <v>20</v>
      </c>
      <c r="L11">
        <v>7.0000000000000007E-2</v>
      </c>
      <c r="M11">
        <v>10</v>
      </c>
      <c r="N11">
        <v>24.554036</v>
      </c>
      <c r="O11">
        <v>0.23417048991786782</v>
      </c>
    </row>
    <row r="12" spans="1:15" x14ac:dyDescent="0.2">
      <c r="J12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E6BBD-6066-2748-A593-4244ACAB1B78}">
  <dimension ref="A1:E11"/>
  <sheetViews>
    <sheetView workbookViewId="0">
      <selection activeCell="B18" sqref="B18"/>
    </sheetView>
  </sheetViews>
  <sheetFormatPr baseColWidth="10" defaultRowHeight="16" x14ac:dyDescent="0.2"/>
  <cols>
    <col min="1" max="1" width="10" bestFit="1" customWidth="1"/>
    <col min="2" max="2" width="14" bestFit="1" customWidth="1"/>
    <col min="3" max="3" width="13.83203125" bestFit="1" customWidth="1"/>
    <col min="4" max="4" width="16" bestFit="1" customWidth="1"/>
    <col min="5" max="5" width="7" bestFit="1" customWidth="1"/>
  </cols>
  <sheetData>
    <row r="1" spans="1: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">
      <c r="A2" s="1" t="s">
        <v>16</v>
      </c>
      <c r="B2">
        <v>10</v>
      </c>
      <c r="C2">
        <v>4.2000000000000003E-2</v>
      </c>
      <c r="D2">
        <v>2</v>
      </c>
      <c r="E2">
        <v>2</v>
      </c>
    </row>
    <row r="3" spans="1:5" x14ac:dyDescent="0.2">
      <c r="A3" s="1" t="s">
        <v>17</v>
      </c>
      <c r="B3">
        <v>12</v>
      </c>
      <c r="C3">
        <v>4.3999999999999997E-2</v>
      </c>
      <c r="D3">
        <v>3</v>
      </c>
      <c r="E3">
        <v>2</v>
      </c>
    </row>
    <row r="4" spans="1:5" x14ac:dyDescent="0.2">
      <c r="A4" s="1" t="s">
        <v>18</v>
      </c>
      <c r="B4">
        <v>15</v>
      </c>
      <c r="C4">
        <v>4.5999999999999999E-2</v>
      </c>
      <c r="D4">
        <v>5</v>
      </c>
      <c r="E4">
        <v>2</v>
      </c>
    </row>
    <row r="5" spans="1:5" x14ac:dyDescent="0.2">
      <c r="A5" s="1" t="s">
        <v>19</v>
      </c>
      <c r="B5">
        <v>18</v>
      </c>
      <c r="C5">
        <v>4.7E-2</v>
      </c>
      <c r="D5">
        <v>7</v>
      </c>
      <c r="E5">
        <v>2</v>
      </c>
    </row>
    <row r="6" spans="1:5" x14ac:dyDescent="0.2">
      <c r="A6" s="1" t="s">
        <v>20</v>
      </c>
      <c r="B6">
        <v>20</v>
      </c>
      <c r="C6">
        <v>4.8000000000000001E-2</v>
      </c>
      <c r="D6">
        <v>10</v>
      </c>
      <c r="E6">
        <v>2</v>
      </c>
    </row>
    <row r="7" spans="1:5" x14ac:dyDescent="0.2">
      <c r="A7" s="1" t="s">
        <v>21</v>
      </c>
      <c r="B7">
        <v>8</v>
      </c>
      <c r="C7">
        <v>6.5000000000000002E-2</v>
      </c>
      <c r="D7">
        <v>2</v>
      </c>
      <c r="E7">
        <v>2</v>
      </c>
    </row>
    <row r="8" spans="1:5" x14ac:dyDescent="0.2">
      <c r="A8" s="1" t="s">
        <v>22</v>
      </c>
      <c r="B8">
        <v>10</v>
      </c>
      <c r="C8">
        <v>6.6000000000000003E-2</v>
      </c>
      <c r="D8">
        <v>3</v>
      </c>
      <c r="E8">
        <v>2</v>
      </c>
    </row>
    <row r="9" spans="1:5" x14ac:dyDescent="0.2">
      <c r="A9" s="1" t="s">
        <v>23</v>
      </c>
      <c r="B9">
        <v>12</v>
      </c>
      <c r="C9">
        <v>6.7000000000000004E-2</v>
      </c>
      <c r="D9">
        <v>5</v>
      </c>
      <c r="E9">
        <v>2</v>
      </c>
    </row>
    <row r="10" spans="1:5" x14ac:dyDescent="0.2">
      <c r="A10" s="1" t="s">
        <v>24</v>
      </c>
      <c r="B10">
        <v>15</v>
      </c>
      <c r="C10">
        <v>6.8000000000000005E-2</v>
      </c>
      <c r="D10">
        <v>7</v>
      </c>
      <c r="E10">
        <v>2</v>
      </c>
    </row>
    <row r="11" spans="1:5" x14ac:dyDescent="0.2">
      <c r="A11" s="1" t="s">
        <v>25</v>
      </c>
      <c r="B11">
        <v>20</v>
      </c>
      <c r="C11">
        <v>7.0000000000000007E-2</v>
      </c>
      <c r="D11">
        <v>10</v>
      </c>
      <c r="E11">
        <v>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2A30B-61BD-4949-A157-0B1229E836EC}">
  <dimension ref="A1:G2"/>
  <sheetViews>
    <sheetView workbookViewId="0"/>
  </sheetViews>
  <sheetFormatPr baseColWidth="10" defaultRowHeight="16" x14ac:dyDescent="0.2"/>
  <cols>
    <col min="1" max="1" width="11.1640625" bestFit="1" customWidth="1"/>
    <col min="2" max="2" width="14.6640625" bestFit="1" customWidth="1"/>
    <col min="3" max="3" width="11.6640625" bestFit="1" customWidth="1"/>
    <col min="4" max="4" width="15.5" bestFit="1" customWidth="1"/>
    <col min="5" max="6" width="13.1640625" bestFit="1" customWidth="1"/>
    <col min="7" max="7" width="14.1640625" bestFit="1" customWidth="1"/>
  </cols>
  <sheetData>
    <row r="1" spans="1:7" x14ac:dyDescent="0.2">
      <c r="A1" t="s">
        <v>44</v>
      </c>
      <c r="B1" t="s">
        <v>45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</row>
    <row r="2" spans="1:7" x14ac:dyDescent="0.2">
      <c r="A2">
        <v>152.31540899999999</v>
      </c>
      <c r="B2">
        <v>5.2518981434451586</v>
      </c>
      <c r="C2">
        <v>7.9992999999999995E-2</v>
      </c>
      <c r="D2">
        <v>36.109281509809783</v>
      </c>
      <c r="E2">
        <v>-1.9561381583408284</v>
      </c>
      <c r="F2">
        <v>3.4223065224248197</v>
      </c>
      <c r="G2">
        <v>2.0905633577838341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C0495-489E-C64D-B3DB-64789B112696}">
  <dimension ref="A1:E5"/>
  <sheetViews>
    <sheetView workbookViewId="0">
      <selection activeCell="D7" sqref="D7"/>
    </sheetView>
  </sheetViews>
  <sheetFormatPr baseColWidth="10" defaultRowHeight="16" x14ac:dyDescent="0.2"/>
  <cols>
    <col min="1" max="1" width="13.83203125" bestFit="1" customWidth="1"/>
    <col min="2" max="3" width="17.6640625" bestFit="1" customWidth="1"/>
    <col min="4" max="4" width="12.5" bestFit="1" customWidth="1"/>
    <col min="5" max="5" width="9.83203125" bestFit="1" customWidth="1"/>
  </cols>
  <sheetData>
    <row r="1" spans="1:5" x14ac:dyDescent="0.2">
      <c r="A1" t="s">
        <v>26</v>
      </c>
      <c r="B1" t="s">
        <v>27</v>
      </c>
      <c r="C1" t="s">
        <v>28</v>
      </c>
      <c r="D1" t="s">
        <v>29</v>
      </c>
      <c r="E1" t="s">
        <v>30</v>
      </c>
    </row>
    <row r="2" spans="1:5" x14ac:dyDescent="0.2">
      <c r="A2" s="1" t="s">
        <v>31</v>
      </c>
      <c r="B2">
        <v>152.31540899999999</v>
      </c>
      <c r="C2">
        <v>148.38377700000001</v>
      </c>
      <c r="D2">
        <v>-3.931632</v>
      </c>
      <c r="E2">
        <v>-2.5812000000000002E-2</v>
      </c>
    </row>
    <row r="3" spans="1:5" x14ac:dyDescent="0.2">
      <c r="A3" s="1" t="s">
        <v>32</v>
      </c>
      <c r="B3">
        <v>152.31540899999999</v>
      </c>
      <c r="C3">
        <v>156.384974</v>
      </c>
      <c r="D3">
        <v>4.0695649999999999</v>
      </c>
      <c r="E3">
        <v>2.6717999999999999E-2</v>
      </c>
    </row>
    <row r="4" spans="1:5" x14ac:dyDescent="0.2">
      <c r="A4" s="1" t="s">
        <v>33</v>
      </c>
      <c r="B4">
        <v>152.31540899999999</v>
      </c>
      <c r="C4">
        <v>146.313954</v>
      </c>
      <c r="D4">
        <v>-6.001455</v>
      </c>
      <c r="E4">
        <v>-3.9400999999999999E-2</v>
      </c>
    </row>
    <row r="5" spans="1:5" x14ac:dyDescent="0.2">
      <c r="A5" s="1" t="s">
        <v>34</v>
      </c>
      <c r="B5">
        <v>152.31540899999999</v>
      </c>
      <c r="C5">
        <v>150.53463600000001</v>
      </c>
      <c r="D5">
        <v>-1.7807729999999999</v>
      </c>
      <c r="E5">
        <v>-1.1691E-2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40238-61A1-3C45-B8DE-2D430ACF358E}">
  <dimension ref="A1:L36"/>
  <sheetViews>
    <sheetView showGridLines="0" tabSelected="1" zoomScaleNormal="100" workbookViewId="0">
      <pane ySplit="1" topLeftCell="A2" activePane="bottomLeft" state="frozen"/>
      <selection pane="bottomLeft" activeCell="L5" sqref="L5"/>
    </sheetView>
  </sheetViews>
  <sheetFormatPr baseColWidth="10" defaultColWidth="0" defaultRowHeight="16" x14ac:dyDescent="0.2"/>
  <cols>
    <col min="1" max="1" width="20.83203125" customWidth="1"/>
    <col min="2" max="2" width="14.83203125" customWidth="1"/>
    <col min="3" max="4" width="12.83203125" customWidth="1"/>
    <col min="5" max="6" width="10.83203125" customWidth="1"/>
    <col min="7" max="7" width="35.5" bestFit="1" customWidth="1"/>
    <col min="8" max="12" width="10.83203125" customWidth="1"/>
    <col min="13" max="16384" width="10.83203125" hidden="1"/>
  </cols>
  <sheetData>
    <row r="1" spans="1:7" x14ac:dyDescent="0.2">
      <c r="A1" s="13" t="s">
        <v>35</v>
      </c>
      <c r="B1" s="12"/>
      <c r="G1" s="2" t="str">
        <f ca="1">"As of " &amp; TEXT(TODAY(),"dd-mmm-yyyy") &amp; " (Live US + India Curves)"</f>
        <v>As of 28-Dec-2025 (Live US + India Curves)</v>
      </c>
    </row>
    <row r="2" spans="1:7" x14ac:dyDescent="0.2">
      <c r="A2" s="12"/>
      <c r="B2" s="12"/>
    </row>
    <row r="3" spans="1:7" x14ac:dyDescent="0.2">
      <c r="A3" s="15" t="s">
        <v>36</v>
      </c>
      <c r="B3" s="3"/>
    </row>
    <row r="4" spans="1:7" x14ac:dyDescent="0.2">
      <c r="A4" s="19" t="s">
        <v>37</v>
      </c>
      <c r="B4" s="25" cm="1">
        <f t="array" ref="B4">portfolio_summary[total_mv]</f>
        <v>152.31540899999999</v>
      </c>
    </row>
    <row r="5" spans="1:7" x14ac:dyDescent="0.2">
      <c r="A5" s="19" t="s">
        <v>38</v>
      </c>
      <c r="B5" s="25">
        <f>INDEX(portfolio_summary[port_duration],1)</f>
        <v>5.2518981434451586</v>
      </c>
    </row>
    <row r="6" spans="1:7" x14ac:dyDescent="0.2">
      <c r="A6" s="19" t="s">
        <v>39</v>
      </c>
      <c r="B6" s="25">
        <f>INDEX(portfolio_summary[port_dv01],1)</f>
        <v>7.9992999999999995E-2</v>
      </c>
    </row>
    <row r="7" spans="1:7" x14ac:dyDescent="0.2">
      <c r="A7" s="19" t="s">
        <v>40</v>
      </c>
      <c r="B7" s="25">
        <f>INDEX(portfolio_summary[port_convexity],1)</f>
        <v>36.109281509809783</v>
      </c>
    </row>
    <row r="8" spans="1:7" x14ac:dyDescent="0.2">
      <c r="A8" s="19" t="s">
        <v>41</v>
      </c>
      <c r="B8" s="25">
        <f>INDEX(portfolio_summary[port_krd_2y],1)</f>
        <v>-1.9561381583408284</v>
      </c>
    </row>
    <row r="9" spans="1:7" x14ac:dyDescent="0.2">
      <c r="A9" s="19" t="s">
        <v>42</v>
      </c>
      <c r="B9" s="25">
        <f>INDEX(portfolio_summary[port_krd_5y],1)</f>
        <v>3.4223065224248197</v>
      </c>
    </row>
    <row r="10" spans="1:7" x14ac:dyDescent="0.2">
      <c r="A10" s="20" t="s">
        <v>43</v>
      </c>
      <c r="B10" s="26">
        <f>INDEX(portfolio_summary[port_krd_10y],1)</f>
        <v>2.0905633577838341</v>
      </c>
    </row>
    <row r="11" spans="1:7" x14ac:dyDescent="0.2">
      <c r="A11" s="12"/>
      <c r="B11" s="12"/>
      <c r="C11" s="12"/>
      <c r="D11" s="12"/>
    </row>
    <row r="12" spans="1:7" x14ac:dyDescent="0.2">
      <c r="A12" s="14" t="s">
        <v>51</v>
      </c>
      <c r="B12" s="4"/>
      <c r="C12" s="4"/>
      <c r="D12" s="5"/>
    </row>
    <row r="13" spans="1:7" x14ac:dyDescent="0.2">
      <c r="A13" s="37" t="s">
        <v>52</v>
      </c>
      <c r="B13" s="38" t="s">
        <v>53</v>
      </c>
      <c r="C13" s="38" t="s">
        <v>55</v>
      </c>
      <c r="D13" s="39" t="s">
        <v>54</v>
      </c>
    </row>
    <row r="14" spans="1:7" x14ac:dyDescent="0.2">
      <c r="A14" s="21" t="str" cm="1">
        <f t="array" ref="A14">INDEX('risk_raw'!$J$2:$J$11, ROW()-13)</f>
        <v>UST2Y</v>
      </c>
      <c r="B14" s="27" cm="1">
        <f t="array" ref="B14">INDEX('risk_raw'!$F$2:$F$11, ROW()-13)</f>
        <v>1.9650000000000002E-3</v>
      </c>
      <c r="C14" s="28" cm="1">
        <f t="array" ref="C14">INDEX('risk_raw'!$O$2:$O$11, ROW()-13)</f>
        <v>2.45646494068231E-2</v>
      </c>
      <c r="D14" s="29" cm="1">
        <f t="array" ref="D14">INDEX('risk_raw'!$I$2:$I$11, ROW()-13)</f>
        <v>0</v>
      </c>
    </row>
    <row r="15" spans="1:7" x14ac:dyDescent="0.2">
      <c r="A15" s="21" t="str" cm="1">
        <f t="array" ref="A15">INDEX('risk_raw'!$J$2:$J$11, ROW()-13)</f>
        <v>UST3Y</v>
      </c>
      <c r="B15" s="27" cm="1">
        <f t="array" ref="B15">INDEX('risk_raw'!$F$2:$F$11, ROW()-13)</f>
        <v>3.519E-3</v>
      </c>
      <c r="C15" s="28" cm="1">
        <f t="array" ref="C15">INDEX('risk_raw'!$O$2:$O$11, ROW()-13)</f>
        <v>4.3991349243058774E-2</v>
      </c>
      <c r="D15" s="29" cm="1">
        <f t="array" ref="D15">INDEX('risk_raw'!$I$2:$I$11, ROW()-13)</f>
        <v>-2.3465E-2</v>
      </c>
    </row>
    <row r="16" spans="1:7" x14ac:dyDescent="0.2">
      <c r="A16" s="21" t="str" cm="1">
        <f t="array" ref="A16">INDEX('risk_raw'!$J$2:$J$11, ROW()-13)</f>
        <v>UST5Y</v>
      </c>
      <c r="B16" s="27" cm="1">
        <f t="array" ref="B16">INDEX('risk_raw'!$F$2:$F$11, ROW()-13)</f>
        <v>7.0720000000000002E-3</v>
      </c>
      <c r="C16" s="28" cm="1">
        <f t="array" ref="C16">INDEX('risk_raw'!$O$2:$O$11, ROW()-13)</f>
        <v>8.840773567687174E-2</v>
      </c>
      <c r="D16" s="29" cm="1">
        <f t="array" ref="D16">INDEX('risk_raw'!$I$2:$I$11, ROW()-13)</f>
        <v>-3.5260000000000001E-3</v>
      </c>
    </row>
    <row r="17" spans="1:4" x14ac:dyDescent="0.2">
      <c r="A17" s="21" t="str" cm="1">
        <f t="array" ref="A17">INDEX('risk_raw'!$J$2:$J$11, ROW()-13)</f>
        <v>UST7Y</v>
      </c>
      <c r="B17" s="27" cm="1">
        <f t="array" ref="B17">INDEX('risk_raw'!$F$2:$F$11, ROW()-13)</f>
        <v>1.1131E-2</v>
      </c>
      <c r="C17" s="28" cm="1">
        <f t="array" ref="C17">INDEX('risk_raw'!$O$2:$O$11, ROW()-13)</f>
        <v>0.13914967559661473</v>
      </c>
      <c r="D17" s="29" cm="1">
        <f t="array" ref="D17">INDEX('risk_raw'!$I$2:$I$11, ROW()-13)</f>
        <v>0.84891899999999998</v>
      </c>
    </row>
    <row r="18" spans="1:4" x14ac:dyDescent="0.2">
      <c r="A18" s="21" t="str" cm="1">
        <f t="array" ref="A18">INDEX('risk_raw'!$J$2:$J$11, ROW()-13)</f>
        <v>UST10Y</v>
      </c>
      <c r="B18" s="27" cm="1">
        <f t="array" ref="B18">INDEX('risk_raw'!$F$2:$F$11, ROW()-13)</f>
        <v>1.6986999999999999E-2</v>
      </c>
      <c r="C18" s="28" cm="1">
        <f t="array" ref="C18">INDEX('risk_raw'!$O$2:$O$11, ROW()-13)</f>
        <v>0.21235608115710125</v>
      </c>
      <c r="D18" s="29" cm="1">
        <f t="array" ref="D18">INDEX('risk_raw'!$I$2:$I$11, ROW()-13)</f>
        <v>6.7971440000000003</v>
      </c>
    </row>
    <row r="19" spans="1:4" x14ac:dyDescent="0.2">
      <c r="A19" s="21" t="str" cm="1">
        <f t="array" ref="A19">INDEX('risk_raw'!$J$2:$J$11, ROW()-13)</f>
        <v>IND2Y</v>
      </c>
      <c r="B19" s="27" cm="1">
        <f t="array" ref="B19">INDEX('risk_raw'!$F$2:$F$11, ROW()-13)</f>
        <v>1.616E-3</v>
      </c>
      <c r="C19" s="28" cm="1">
        <f t="array" ref="C19">INDEX('risk_raw'!$O$2:$O$11, ROW()-13)</f>
        <v>2.0201767654669786E-2</v>
      </c>
      <c r="D19" s="29" cm="1">
        <f t="array" ref="D19">INDEX('risk_raw'!$I$2:$I$11, ROW()-13)</f>
        <v>0</v>
      </c>
    </row>
    <row r="20" spans="1:4" x14ac:dyDescent="0.2">
      <c r="A20" s="21" t="str" cm="1">
        <f t="array" ref="A20">INDEX('risk_raw'!$J$2:$J$11, ROW()-13)</f>
        <v>IND3Y</v>
      </c>
      <c r="B20" s="27" cm="1">
        <f t="array" ref="B20">INDEX('risk_raw'!$F$2:$F$11, ROW()-13)</f>
        <v>3.0409999999999999E-3</v>
      </c>
      <c r="C20" s="28" cm="1">
        <f t="array" ref="C20">INDEX('risk_raw'!$O$2:$O$11, ROW()-13)</f>
        <v>3.8015826384808674E-2</v>
      </c>
      <c r="D20" s="29" cm="1">
        <f t="array" ref="D20">INDEX('risk_raw'!$I$2:$I$11, ROW()-13)</f>
        <v>-2.2891999999999999E-2</v>
      </c>
    </row>
    <row r="21" spans="1:4" x14ac:dyDescent="0.2">
      <c r="A21" s="21" t="str" cm="1">
        <f t="array" ref="A21">INDEX('risk_raw'!$J$2:$J$11, ROW()-13)</f>
        <v>IND5Y</v>
      </c>
      <c r="B21" s="27" cm="1">
        <f t="array" ref="B21">INDEX('risk_raw'!$F$2:$F$11, ROW()-13)</f>
        <v>5.9649999999999998E-3</v>
      </c>
      <c r="C21" s="28" cm="1">
        <f t="array" ref="C21">INDEX('risk_raw'!$O$2:$O$11, ROW()-13)</f>
        <v>7.4569024789669106E-2</v>
      </c>
      <c r="D21" s="29" cm="1">
        <f t="array" ref="D21">INDEX('risk_raw'!$I$2:$I$11, ROW()-13)</f>
        <v>-4.7699999999999999E-3</v>
      </c>
    </row>
    <row r="22" spans="1:4" x14ac:dyDescent="0.2">
      <c r="A22" s="21" t="str" cm="1">
        <f t="array" ref="A22">INDEX('risk_raw'!$J$2:$J$11, ROW()-13)</f>
        <v>IND7Y</v>
      </c>
      <c r="B22" s="27" cm="1">
        <f t="array" ref="B22">INDEX('risk_raw'!$F$2:$F$11, ROW()-13)</f>
        <v>9.9649999999999999E-3</v>
      </c>
      <c r="C22" s="28" cm="1">
        <f t="array" ref="C22">INDEX('risk_raw'!$O$2:$O$11, ROW()-13)</f>
        <v>0.1245734001725151</v>
      </c>
      <c r="D22" s="29" cm="1">
        <f t="array" ref="D22">INDEX('risk_raw'!$I$2:$I$11, ROW()-13)</f>
        <v>0.76788199999999995</v>
      </c>
    </row>
    <row r="23" spans="1:4" x14ac:dyDescent="0.2">
      <c r="A23" s="22" t="str" cm="1">
        <f t="array" ref="A23">INDEX('risk_raw'!$J$2:$J$11, ROW()-13)</f>
        <v>IND10Y</v>
      </c>
      <c r="B23" s="30" cm="1">
        <f t="array" ref="B23">INDEX('risk_raw'!$F$2:$F$11, ROW()-13)</f>
        <v>1.8731999999999999E-2</v>
      </c>
      <c r="C23" s="31" cm="1">
        <f t="array" ref="C23">INDEX('risk_raw'!$O$2:$O$11, ROW()-13)</f>
        <v>0.23417048991786782</v>
      </c>
      <c r="D23" s="32" cm="1">
        <f t="array" ref="D23">INDEX('risk_raw'!$I$2:$I$11, ROW()-13)</f>
        <v>6.0112319999999997</v>
      </c>
    </row>
    <row r="30" spans="1:4" x14ac:dyDescent="0.2">
      <c r="A30" s="16" t="s">
        <v>56</v>
      </c>
      <c r="B30" s="6"/>
      <c r="C30" s="6"/>
      <c r="D30" s="7"/>
    </row>
    <row r="31" spans="1:4" x14ac:dyDescent="0.2">
      <c r="A31" s="8"/>
      <c r="B31" s="9"/>
      <c r="C31" s="9"/>
      <c r="D31" s="10"/>
    </row>
    <row r="32" spans="1:4" x14ac:dyDescent="0.2">
      <c r="A32" s="17" t="s">
        <v>57</v>
      </c>
      <c r="B32" s="18" t="s">
        <v>58</v>
      </c>
      <c r="C32" s="18" t="s">
        <v>59</v>
      </c>
      <c r="D32" s="10"/>
    </row>
    <row r="33" spans="1:4" x14ac:dyDescent="0.2">
      <c r="A33" s="23" t="str" cm="1">
        <f t="array" ref="A33">INDEX(scenario_raw!$A$2:$A$5, ROW()-32)</f>
        <v>parallel_+50bp</v>
      </c>
      <c r="B33" s="33" cm="1">
        <f t="array" ref="B33">INDEX(scenario_raw!$D$2:$D$5, ROW()-32)</f>
        <v>-3.931632</v>
      </c>
      <c r="C33" s="34" cm="1">
        <f t="array" ref="C33">INDEX(scenario_raw!$E$2:$E$5, ROW()-32)</f>
        <v>-2.5812000000000002E-2</v>
      </c>
      <c r="D33" s="10"/>
    </row>
    <row r="34" spans="1:4" x14ac:dyDescent="0.2">
      <c r="A34" s="23" t="str" cm="1">
        <f t="array" ref="A34">INDEX(scenario_raw!$A$2:$A$5, ROW()-32)</f>
        <v>parallel_-50bp</v>
      </c>
      <c r="B34" s="33" cm="1">
        <f t="array" ref="B34">INDEX(scenario_raw!$D$2:$D$5, ROW()-32)</f>
        <v>4.0695649999999999</v>
      </c>
      <c r="C34" s="34" cm="1">
        <f t="array" ref="C34">INDEX(scenario_raw!$E$2:$E$5, ROW()-32)</f>
        <v>2.6717999999999999E-2</v>
      </c>
      <c r="D34" s="10"/>
    </row>
    <row r="35" spans="1:4" x14ac:dyDescent="0.2">
      <c r="A35" s="23" t="str" cm="1">
        <f t="array" ref="A35">INDEX(scenario_raw!$A$2:$A$5, ROW()-32)</f>
        <v>bear_steepener</v>
      </c>
      <c r="B35" s="33" cm="1">
        <f t="array" ref="B35">INDEX(scenario_raw!$D$2:$D$5, ROW()-32)</f>
        <v>-6.001455</v>
      </c>
      <c r="C35" s="34" cm="1">
        <f t="array" ref="C35">INDEX(scenario_raw!$E$2:$E$5, ROW()-32)</f>
        <v>-3.9400999999999999E-2</v>
      </c>
      <c r="D35" s="10"/>
    </row>
    <row r="36" spans="1:4" x14ac:dyDescent="0.2">
      <c r="A36" s="24" t="str" cm="1">
        <f t="array" ref="A36">INDEX(scenario_raw!$A$2:$A$5, ROW()-32)</f>
        <v>bull_flattener</v>
      </c>
      <c r="B36" s="35" cm="1">
        <f t="array" ref="B36">INDEX(scenario_raw!$D$2:$D$5, ROW()-32)</f>
        <v>-1.7807729999999999</v>
      </c>
      <c r="C36" s="36" cm="1">
        <f t="array" ref="C36">INDEX(scenario_raw!$E$2:$E$5, ROW()-32)</f>
        <v>-1.1691E-2</v>
      </c>
      <c r="D36" s="11"/>
    </row>
  </sheetData>
  <conditionalFormatting sqref="C14:C2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0" verticalDpi="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BAA8807-ACEF-B647-874C-9E8A8A08CA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risk_raw</vt:lpstr>
      <vt:lpstr>portfolio_raw</vt:lpstr>
      <vt:lpstr>portfolio_summary</vt:lpstr>
      <vt:lpstr>scenario_raw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jaymin.patil.btech2019</dc:creator>
  <cp:lastModifiedBy>jaymin.patil.btech2019</cp:lastModifiedBy>
  <dcterms:created xsi:type="dcterms:W3CDTF">2025-12-26T18:44:25Z</dcterms:created>
  <dcterms:modified xsi:type="dcterms:W3CDTF">2025-12-28T12:32:45Z</dcterms:modified>
</cp:coreProperties>
</file>